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SAFY\Desktop\disease\kdca-rag-stage1\kdca-rag\submission\"/>
    </mc:Choice>
  </mc:AlternateContent>
  <xr:revisionPtr revIDLastSave="0" documentId="13_ncr:1_{35C8D618-EBEE-4BBE-906C-CDDEF6BE107A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체크리스트" sheetId="1" r:id="rId1"/>
    <sheet name="작성 안내" sheetId="2" r:id="rId2"/>
  </sheets>
  <definedNames>
    <definedName name="_xlnm.Print_Area" localSheetId="0">체크리스트!$B$2:$I$46</definedName>
    <definedName name="_xlnm.Print_Titles" localSheetId="0">체크리스트!$8:$8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42" i="1" l="1"/>
  <c r="F41" i="1"/>
  <c r="F40" i="1"/>
  <c r="F39" i="1"/>
  <c r="F38" i="1"/>
  <c r="F37" i="1"/>
</calcChain>
</file>

<file path=xl/sharedStrings.xml><?xml version="1.0" encoding="utf-8"?>
<sst xmlns="http://schemas.openxmlformats.org/spreadsheetml/2006/main" count="241" uniqueCount="184">
  <si>
    <t>[SSAFY] AI 코어 프로젝트 2회차 — 셀프 · 상호 체크리스트</t>
  </si>
  <si>
    <t>점검 유형</t>
  </si>
  <si>
    <t>셀프</t>
  </si>
  <si>
    <t>결과 기입 기준
· 통과: 직접 실행해 기대한 결과를 확인함 (증명이 필요한 항목은 증빙 첨부)
· 실패: 실행했으나 기대와 다름 → 비고에 사유와 조치
· 미확인: 실행하지 못함 → 비고에 사유
· 해당없음: 선택하지 않은 심화 항목, 해당하지 않는 도메인 항목
※ 확인하지 않은 것을 통과로 적지 않습니다.</t>
  </si>
  <si>
    <t>앱 작성자</t>
  </si>
  <si>
    <t>이름</t>
  </si>
  <si>
    <t>점검자</t>
  </si>
  <si>
    <t>점검 일시</t>
  </si>
  <si>
    <t>2026-10-23 11:00</t>
  </si>
  <si>
    <t>연한 노란 칸만 입력합니다.  결과(G열)는 목록에서 고릅니다 — 통과 · 실패 · 미확인 · 해당없음</t>
  </si>
  <si>
    <t>영역</t>
  </si>
  <si>
    <t>번호</t>
  </si>
  <si>
    <t>요구사항</t>
  </si>
  <si>
    <t>확인 항목</t>
  </si>
  <si>
    <t>확인 방법</t>
  </si>
  <si>
    <t>결과</t>
  </si>
  <si>
    <t>증빙 (캡처 · 파일명)</t>
  </si>
  <si>
    <t>비고 (실패 · 미확인 사유)</t>
  </si>
  <si>
    <t>데이터와 색인</t>
  </si>
  <si>
    <t>F2001</t>
  </si>
  <si>
    <t>로드한 항목 수와 색인된 청크 수가 일치하고, 항목 1건의 색인 텍스트에 의도한 속성이 모두 들어 있다</t>
  </si>
  <si>
    <t>로드 건수와 컬렉션 건수를 출력해 비교하고, 항목 1건의 색인 텍스트 확인</t>
  </si>
  <si>
    <t>통과</t>
  </si>
  <si>
    <t>01_F2001_로드건수_색인건수_색인텍스트.png, 01_F2001_로드건수_색인건수_색인텍스트.txt</t>
  </si>
  <si>
    <t>로드 133건 = 메타 컬렉션 133건, 색인 텍스트에 급수, 신고 시기, 신고 범위, KCD 코드, 담당부서 포함</t>
  </si>
  <si>
    <t>F2002</t>
  </si>
  <si>
    <t>색인 작업을 두 번 실행해도 청크 수가 늘지 않는다</t>
  </si>
  <si>
    <t>스크립트를 두 번 실행하고 전후 청크 수 비교</t>
  </si>
  <si>
    <t>02_F2002_두번실행_청크수.png, 02_F2002_두번실행_청크수.txt</t>
  </si>
  <si>
    <t>1회 후 메타 133·문서 1874청크 → 2회 후 메타 133·문서 1874청크 (변화 없음)</t>
  </si>
  <si>
    <t>문서 수집과 색인</t>
  </si>
  <si>
    <t>F2003 · F2004</t>
  </si>
  <si>
    <t>검색어 추출(프롬프트 1)이 뽑은 검색어 목록이 확인되고, 후보 선별(프롬프트 2)에 따라 색인된 문서와 버려진 문서가 구분된다</t>
  </si>
  <si>
    <t>질문 1개를 실행하고 검색어 목록과 선별 결과를 나란히 출력</t>
  </si>
  <si>
    <t>03_F2003_F2004_검색어_선별결과.png, 03_F2003_F2004_검색어_선별결과.txt</t>
  </si>
  <si>
    <t>검색어 ['브루셀라증 전파 경로', '브루셀라증 감염 경로', '브루셀라증 인수공통감염병'] · 검색어별 색인 문서/버린 문서를 나란히 출력 (색인 3줄, 버림 3줄)</t>
  </si>
  <si>
    <t>F2004 · NF2002</t>
  </si>
  <si>
    <t>같은 질문을 다시 물었을 때 수집이 다시 일어나지 않는다</t>
  </si>
  <si>
    <t>같은 질문을 두 번 실행해 수집 로그와 처리 시간 비교</t>
  </si>
  <si>
    <t>04_F2004_NF2002_재질문_수집로그.png, 04_F2004_NF2002_재질문_수집로그.txt</t>
  </si>
  <si>
    <t>2회째 모든 검색어가 '캐시'(위키 검색·선별 호출 없음), 시간 13.9s → 3.9s</t>
  </si>
  <si>
    <t>F2005</t>
  </si>
  <si>
    <t>청크 크기 또는 중복 길이를 설정에서 바꿔 색인하면 청크 수가 달라진다</t>
  </si>
  <si>
    <t>설정값을 바꿔 재색인하고 청크 수 비교</t>
  </si>
  <si>
    <t>05_F2005_청크설정_재색인.png, 05_F2005_청크설정_재색인.txt</t>
  </si>
  <si>
    <t>chunk 500/100 → 2613청크, 1000/200 → 1860청크 (원래 설정으로 복구)</t>
  </si>
  <si>
    <t>답변과 근거</t>
  </si>
  <si>
    <t>F2006</t>
  </si>
  <si>
    <t>검색할 근거 수(Top-k)를 설정에서 바꾸면 같은 질문의 근거 목록이 달라진다</t>
  </si>
  <si>
    <t>Top-k 값을 바꿔 같은 질문을 실행하고 근거 목록 비교</t>
  </si>
  <si>
    <t>06_F2006_TopK_근거목록비교.png, 06_F2006_TopK_근거목록비교.txt</t>
  </si>
  <si>
    <t>같은 질문에서 top_k 3 → 근거 4개(메타 1 + 문서), 8 → 9개</t>
  </si>
  <si>
    <t>F2007</t>
  </si>
  <si>
    <t>LangGraph가 retrieve와 generate 두 노드로 구성되어 있다</t>
  </si>
  <si>
    <t>그래프 구조 출력 또는 코드 캡처</t>
  </si>
  <si>
    <t>07_F2007_LangGraph_구조.png, 07_F2007_LangGraph_구조.txt</t>
  </si>
  <si>
    <t>START → retrieve → generate → END 두 노드 (Mermaid 출력 + 코드)</t>
  </si>
  <si>
    <t>F2008</t>
  </si>
  <si>
    <t>답변 본문의 근거 번호와 화면의 근거 목록이 일치하고, 항목 메타데이터와 외부 문서가 구분되어 표시된다</t>
  </si>
  <si>
    <t>답변을 생성해 번호와 목록을 대조</t>
  </si>
  <si>
    <t>08_F2008_근거번호_근거목록.png, 08_F2008_근거번호_근거목록.txt, S08_답변_근거목록.png</t>
  </si>
  <si>
    <t>답변 근거 번호 [2, 4]가 모두 목록에 있음, 항목 메타데이터와 외부 문서(공공 통계, 위키백과) 구분 표시</t>
  </si>
  <si>
    <t>F2007 · F2008</t>
  </si>
  <si>
    <t>문서에 없는 것을 물으면 추측하지 않고 확인되지 않는다고 답하며, 인용된 근거가 없으면 그 사실이 화면에 안내된다</t>
  </si>
  <si>
    <t>색인에 없는 내용을 질문해 답변과 안내 확인</t>
  </si>
  <si>
    <t>09_F2007_F2008_없는내용_질문.png, 09_F2007_F2008_없는내용_질문.txt, S09_없는내용_질문.png</t>
  </si>
  <si>
    <t>'제공된 문서에서 확인되지 않습니다'로 답함 · 일부 근거(급수 등)를 인용</t>
  </si>
  <si>
    <t>서비스 기능과 화면</t>
  </si>
  <si>
    <t>F2009</t>
  </si>
  <si>
    <t>항목을 바꿨을 때 이전 대화가 섞이지 않는다</t>
  </si>
  <si>
    <t>항목 A에서 대화 후 항목 B로 바꿔 질문</t>
  </si>
  <si>
    <t>S10a_대화분리_수두.png, S10b_대화분리_홍역복귀.png</t>
  </si>
  <si>
    <t>홍역 대화 후 수두 질문 → 수두 대화만, 요약의 '홍역' 버튼 → 홍역 대화만 (섞이지 않음)</t>
  </si>
  <si>
    <t>F2011</t>
  </si>
  <si>
    <t>조건 기반 탐색 결과에 조건과 맞지 않는 항목이 섞이지 않는다</t>
  </si>
  <si>
    <t>조건을 입력해 결과 항목을 하나씩 대조</t>
  </si>
  <si>
    <t>11_F2011_조건탐색_결과대조.png, 11_F2011_조건탐색_결과대조.txt</t>
  </si>
  <si>
    <t>조건 4개 · 결과 16건을 급수·신고 범위 데이터와 하나씩 대조해 어긋난 항목 0건 (데이터에 없는 조건 '모기·호흡기'는 결과의 이유를 사람이 확인)</t>
  </si>
  <si>
    <t>F2010</t>
  </si>
  <si>
    <t>도메인 특화 기능의 결과에도 근거가 함께 제시된다</t>
  </si>
  <si>
    <t>특화 기능을 실행해 근거 표시 확인</t>
  </si>
  <si>
    <t>12_F2010_여행전안내_근거.png, 12_F2010_여행전안내_근거.txt, S12_여행전안내_근거.png</t>
  </si>
  <si>
    <t>여행 전 안내(나라 팝업): 검역관리지역 API 문서·항목 메타데이터·위키 청크를 근거로 [근거 n] 표시</t>
  </si>
  <si>
    <t>F2012</t>
  </si>
  <si>
    <t>처리 중 진행 상태가 표시되고, 색인이 없을 때와 API 키가 없을 때 각각 안내가 표시된다</t>
  </si>
  <si>
    <t>첫 질문 실행 중 화면 확인, 색인 삭제 후 실행, 키를 비우고 실행</t>
  </si>
  <si>
    <t>S13a_진행상태_처리중.png, S13b_진행상태_완료기록.png, S13c_색인없음_안내.png, S13d_키없음_안내.png</t>
  </si>
  <si>
    <t>처리 중 진행 상태·완료 후 수집 문서 제목, 색인 없음 안내(build_index), 키 없음 안내(변수 이름만)</t>
  </si>
  <si>
    <t>(해당 도메인만) 건강 · 금융처럼 판단이 위험한 도메인이면 전문가 조언을 대신하지 않는다는 안내가 표시된다</t>
  </si>
  <si>
    <t>답변 화면에서 면책 안내 확인</t>
  </si>
  <si>
    <t>S14_면책안내.png</t>
  </si>
  <si>
    <t>건강 도메인: 답변 화면·홈에 면책 안내 표시 ("이 서비스는 공개된 공공자료와 백과사전을 근거로 한 일반 정보이며, 의사…")</t>
  </si>
  <si>
    <t>심화 기능 (선택한 것만)</t>
  </si>
  <si>
    <t>F2013</t>
  </si>
  <si>
    <t>화면이 HTML · CSS · JavaScript로 동작하고 질문 · 답변 · 근거가 모두 표시된다</t>
  </si>
  <si>
    <t>화면 실행 후 질문 · 답변 · 근거 표시 확인</t>
  </si>
  <si>
    <t>해당없음</t>
  </si>
  <si>
    <t>심화 F2013(HTML·CSS·JS 프론트엔드)은 선택하지 않음 — 화면은 Streamlit으로 구현</t>
  </si>
  <si>
    <t>F2014</t>
  </si>
  <si>
    <t>같은 질문에 유사도 검색과 MMR 검색을 각각 적용했을 때 근거 목록이 어떻게 달라지는지 확인된다</t>
  </si>
  <si>
    <t>두 검색 방식의 근거 목록을 나란히 비교</t>
  </si>
  <si>
    <t>16_F2014_유사도_MMR_비교.png, 16_F2014_유사도_MMR_비교.txt</t>
  </si>
  <si>
    <t>두 방식 근거 목록 나란히 비교: 서로 다른 근거 2/2개, 문서 다양성 2→3</t>
  </si>
  <si>
    <t>F2015</t>
  </si>
  <si>
    <t>대표 질문 5개 이상(근거 없이 답하면 틀리기 쉬운 질문)을 RAG 없이 / 근거를 붙여 각각 답하게 해, 사실 정확성 · 근거 제시 여부 · 모르는 것을 모른다고 답하는지를 비교해 기록했다</t>
  </si>
  <si>
    <t>비교 기록 확인</t>
  </si>
  <si>
    <t>17_F2015_RAG전후비교_실행.png, 17_F2015_RAG_COMPARISON.md, 17_F2015_RAG전후비교_실행.txt</t>
  </si>
  <si>
    <t>대표 질문 9개 · 사실 정확성 RAG 없이 3/9 → RAG 8/9 · 근거 제시 0 → 9 · 모름 표명 비교 포함</t>
  </si>
  <si>
    <t>비교 결과를 문서로 작성해 제출물에 포함했다</t>
  </si>
  <si>
    <t>제출물 폴더 확인</t>
  </si>
  <si>
    <t>docs/RAG_COMPARISON.md</t>
  </si>
  <si>
    <t>비교 결과 문서를 docs/RAG_COMPARISON.md로 제출물에 포함</t>
  </si>
  <si>
    <t>F2016</t>
  </si>
  <si>
    <t>근거 목록에 출처의 종류가 구분되어 표시된다</t>
  </si>
  <si>
    <t>근거 목록 화면 확인</t>
  </si>
  <si>
    <t>19_F2016_출처종류_색인과_근거표시.png, 19_F2016_출처종류_색인과_근거표시.txt, S19_근거_출처종류.png, S12_여행전안내_근거.png</t>
  </si>
  <si>
    <t>disease_docs에 출처 종류 ['wiki', 'public_stats', 'public_api'] 함께 색인(위키=글자 수 청킹, 공공데이터=레코드 청킹), 근거 목록에 종류 배지</t>
  </si>
  <si>
    <t>비기능 요구사항</t>
  </si>
  <si>
    <t>NF2001</t>
  </si>
  <si>
    <t>대표 질문의 전체 처리 시간이 사용에 지장이 없다</t>
  </si>
  <si>
    <t>첫 질문과 두 번째 질문의 처리 시간을 나눠 측정</t>
  </si>
  <si>
    <t>20_NF2001_처리시간_첫질문_두번째.png, 20_NF2001_처리시간_첫질문_두번째.txt</t>
  </si>
  <si>
    <t>첫 질문 6.0s(문서 수집 포함), 두 번째 2.8s · 답변은 스트리밍이라 첫 글자는 더 빨리 보임 (기준: 첫 20s·이후 10s 이내) · 상세 측정 docs/PERFORMANCE.md</t>
  </si>
  <si>
    <t>NF2003 · NF2004</t>
  </si>
  <si>
    <t>소스코드와 제출물에 API 키가 남아 있지 않고, 화면에 API 키 · 프롬프트 전문 · 오류 추적 정보가 노출되지 않는다</t>
  </si>
  <si>
    <t>저장소 전체에서 키 문자열 검색(.env 제외 여부 확인), 오류 상황을 일부러 만들어 화면 확인</t>
  </si>
  <si>
    <t>21_NF2003_NF2004_키검사.png, 21_NF2003_NF2004_키검사.txt, S21_오류화면_노출없음.png, S13d_키없음_안내.png</t>
  </si>
  <si>
    <t>저장소·제출 폴더에 키 값·키 모양 없음, .env는 .gitignore, 오류 화면(틀린 키)·키 없음 화면에 키·프롬프트·추적 정보 없음</t>
  </si>
  <si>
    <t>NF2005</t>
  </si>
  <si>
    <t>수집 · 색인 · 검색 · 생성 · UI가 모듈로 분리되어 있다</t>
  </si>
  <si>
    <t>파일 구성 확인</t>
  </si>
  <si>
    <t>22_NF2005_모듈구성.png, 22_NF2005_모듈구성.txt</t>
  </si>
  <si>
    <t>수집 data_prep · 색인/검색 vectorstore · 생성 rag · 도메인 service · UI ui 로 분리</t>
  </si>
  <si>
    <t>NF2006</t>
  </si>
  <si>
    <t>외부 호출의 재시도 · 호출 간격과 출처가 요구하는 식별 정보(예: 위키백과 User-Agent 연락처)를 지켰다</t>
  </si>
  <si>
    <t>호출 코드의 재시도 · 간격 · 헤더 확인</t>
  </si>
  <si>
    <t>23_NF2006_재시도_간격_UserAgent.png, 23_NF2006_재시도_간격_UserAgent.txt</t>
  </si>
  <si>
    <t>위키: 요청 간 최소 0.5s·재시도 3회·maxlag=5·연락처 든 User-Agent 필수 / 공공데이터 API: 간격·재시도·키 마스킹 (코드+테스트)</t>
  </si>
  <si>
    <t>NF2007</t>
  </si>
  <si>
    <t>사용한 데이터와 문서의 출처 · 이용 조건을 기록했다</t>
  </si>
  <si>
    <t>README 확인</t>
  </si>
  <si>
    <t>24_NF2007_출처_이용조건.png, 24_NF2007_출처_이용조건.txt</t>
  </si>
  <si>
    <t>README 6절 표 + config/sources.json(이용 조건·확인일), 화면 캡션에 출처·이용 조건</t>
  </si>
  <si>
    <t>제출 전 점검</t>
  </si>
  <si>
    <t>필수</t>
  </si>
  <si>
    <t>필수 기능 F2001 ~ F2012가 모두 동작하고, 선택한 심화 기능은 필수 기능의 결과와 비교되어 있다</t>
  </si>
  <si>
    <t>위 항목의 결과 종합, 비교 기록 확인</t>
  </si>
  <si>
    <t>검증결과/검증_요약.md, 17_F2015_RAG_COMPARISON.md</t>
  </si>
  <si>
    <t>1~14 모두 통과, 심화 F2014·F2015·F2016을 필수 결과(유사도 검색·RAG 없는 답·위키 단일 출처)와 비교</t>
  </si>
  <si>
    <t>증명을 위한 스크린샷 항목을 모두 첨부했다</t>
  </si>
  <si>
    <t>증빙 칸과 첨부 파일 대조</t>
  </si>
  <si>
    <t>evidence/</t>
  </si>
  <si>
    <t>화면 캡처 11/11개 + 실행 출력 캡처(NN_*.png) 저장</t>
  </si>
  <si>
    <t>요구사항 정의서 · RAG 파이프라인 설계문서 · 소스코드 · README.md · 검증 결과(요구사항 대조표, 테스트 결과표, 셀프 · 상호 체크리스트)를 모두 포함했다</t>
  </si>
  <si>
    <t>미확인</t>
  </si>
  <si>
    <t>요구사항_대조표.md, 테스트_결과표.md</t>
  </si>
  <si>
    <t>요구사항 정의서·설계문서·소스·README·대조표·테스트 결과표·셀프 체크리스트 포함 / 상호 체크리스트는 옆 교육생 점검 후 submission/에 추가해야 함</t>
  </si>
  <si>
    <t>집계</t>
  </si>
  <si>
    <t>제출 전에 「실패」 · 「미확인」 · 「미기입」이 남아 있으면 비고에 사유가 적혀 있는지 확인합니다.</t>
  </si>
  <si>
    <t>실패</t>
  </si>
  <si>
    <t>미기입</t>
  </si>
  <si>
    <t>전체 항목</t>
  </si>
  <si>
    <t>상호 점검 피드백 — 상호 점검 때만 작성 (짧게 한두 문장)</t>
  </si>
  <si>
    <t>잘한 것 하나</t>
  </si>
  <si>
    <t>개선할 것 하나</t>
  </si>
  <si>
    <t>셀프 · 상호 체크리스트 작성 안내</t>
  </si>
  <si>
    <t>언제</t>
  </si>
  <si>
    <t>셀프 — 3일차 15:30 ~ 16:30 · 내 앱을 직접 실행하며 항목을 하나씩 확인합니다.
상호 — 3일차 16:30 ~ 17:30 · 셀프 때와 같은 양식으로 옆 교육생의 앱을 점검하고, 점검자 칸에 이름을 적어 주고받습니다.</t>
  </si>
  <si>
    <t>무엇을 적나</t>
  </si>
  <si>
    <t>점검 유형(셀프 · 상호) · 앱 작성자 · 점검자 · 점검 일시, 그리고 항목마다 결과 · 증빙 · 비고를 적습니다.
연한 노란 칸만 입력합니다. 확인 항목과 확인 방법은 고치지 않습니다.</t>
  </si>
  <si>
    <t>통과 — 직접 실행해 기대한 결과를 확인함 (증명이 필요한 항목은 증빙 첨부)
실패 — 실행했으나 기대와 다름 → 비고에 사유와 조치
미확인 — 실행하지 못함 → 비고에 사유
해당없음 — 선택하지 않은 심화 항목, 해당하지 않는 도메인 항목</t>
  </si>
  <si>
    <t>증빙</t>
  </si>
  <si>
    <t>화면 캡처의 파일명을 적고 제출물에 함께 넣습니다. 번호를 앞에 붙이면 찾기 쉽습니다. 예) 04_재질문_수집로그.png
캡처에 API 키와 오류 상세 내용이 보이지 않게 합니다.</t>
  </si>
  <si>
    <t>체크리스트 아래 집계 칸이 결과를 자동으로 셉니다. 제출 전에 「실패」 · 「미확인」 · 「미기입」이 남아 있으면 비고에 사유가 적혀 있는지 확인합니다.</t>
  </si>
  <si>
    <t>상호 피드백</t>
  </si>
  <si>
    <t>상호 점검 때는 맨 아래에 잘한 것 하나, 개선할 것 하나를 짧게 적어 돌려줍니다.
지적받은 결함 중 고칠 수 있는 것만 고치고 최종 제출합니다. 새 기능은 넣지 않습니다.</t>
  </si>
  <si>
    <t>가장 중요한 규칙</t>
  </si>
  <si>
    <t>확인하지 않은 것을 통과로 적지 않습니다.</t>
  </si>
  <si>
    <t>작성 예시 — 모양만 보여 주는 예입니다. 실제 체크리스트에는 이 줄을 옮기지 않습니다.</t>
  </si>
  <si>
    <t>04_재질문_수집로그.png</t>
  </si>
  <si>
    <t>09_없는내용_질문.png</t>
  </si>
  <si>
    <t>안내 문구는 나오지만 답변에 추측이 섞임 → 프롬프트 3에 '문서에 없으면 답하지 않는다' 규칙 추가 예정</t>
  </si>
  <si>
    <t>MMR 심화 기능을 선택하지 않음</t>
  </si>
  <si>
    <t>GMS 응답 지연으로 측정 못 함 → 상호 점검 전에 다시 측정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</si>
</sst>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맑은 고딕"/>
      <family val="2"/>
      <charset val="1"/>
    </font>
    <font>
      <b/>
      <sz val="14"/>
      <name val="맑은 고딕"/>
      <family val="3"/>
      <charset val="129"/>
    </font>
    <font>
      <b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b/>
      <sz val="10"/>
      <name val="Noto Sans CJK SC"/>
      <family val="2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14"/>
      <color rgb="FF000000"/>
      <name val="Noto Sans CJK SC"/>
      <family val="2"/>
    </font>
    <font>
      <b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b/>
      <sz val="10"/>
      <color rgb="FFC00000"/>
      <name val="Noto Sans CJK SC"/>
      <family val="2"/>
    </font>
    <font>
      <sz val="8"/>
      <name val="돋움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1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 applyAlignment="1"/>
    <xf numFmtId="0" fontId="0" fillId="0" borderId="0" xfId="0" applyAlignment="1"/>
    <xf numFmtId="0" fontId="2" fillId="3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top" wrapText="1"/>
    </xf>
    <xf numFmtId="0" fontId="3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6" borderId="2" xfId="0" applyFont="1" applyFill="1" applyBorder="1" applyAlignment="1">
      <alignment horizontal="center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4" fillId="8" borderId="2" xfId="0" applyFont="1" applyFill="1" applyBorder="1" applyAlignment="1">
      <alignment horizontal="center" vertical="center" wrapText="1"/>
    </xf>
    <xf numFmtId="0" fontId="4" fillId="9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5" fillId="0" borderId="0" xfId="0" applyFont="1" applyAlignment="1"/>
    <xf numFmtId="0" fontId="0" fillId="0" borderId="0" xfId="0" applyAlignment="1"/>
    <xf numFmtId="0" fontId="2" fillId="5" borderId="2" xfId="0" applyFont="1" applyFill="1" applyBorder="1" applyAlignment="1">
      <alignment horizontal="center" vertical="center" wrapText="1"/>
    </xf>
    <xf numFmtId="0" fontId="0" fillId="0" borderId="14" xfId="0" applyBorder="1"/>
    <xf numFmtId="0" fontId="0" fillId="0" borderId="15" xfId="0" applyBorder="1"/>
    <xf numFmtId="0" fontId="4" fillId="0" borderId="2" xfId="0" applyFont="1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2" fillId="3" borderId="2" xfId="0" applyFont="1" applyFill="1" applyBorder="1" applyAlignment="1">
      <alignment horizontal="center" vertical="center" wrapText="1"/>
    </xf>
    <xf numFmtId="0" fontId="8" fillId="4" borderId="2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2" fillId="0" borderId="2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</cellXfs>
  <cellStyles count="1">
    <cellStyle name="표준" xfId="0" builtinId="0"/>
  </cellStyles>
  <dxfs count="4">
    <dxf>
      <font>
        <b/>
        <color rgb="FF595959"/>
      </font>
      <fill>
        <patternFill>
          <bgColor rgb="FFEDEDED"/>
        </patternFill>
      </fill>
    </dxf>
    <dxf>
      <font>
        <b/>
        <color rgb="FF9C5700"/>
      </font>
      <fill>
        <patternFill>
          <bgColor rgb="FFFFEB9C"/>
        </patternFill>
      </fill>
    </dxf>
    <dxf>
      <font>
        <b/>
        <color rgb="FF9C0006"/>
      </font>
      <fill>
        <patternFill>
          <bgColor rgb="FFFFC7CE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I46"/>
  <sheetViews>
    <sheetView showGridLines="0" tabSelected="1" zoomScale="90" zoomScaleNormal="90" workbookViewId="0">
      <selection activeCell="H16" sqref="H16"/>
    </sheetView>
  </sheetViews>
  <sheetFormatPr defaultColWidth="8.5" defaultRowHeight="16.5"/>
  <cols>
    <col min="1" max="1" width="3" style="1" customWidth="1"/>
    <col min="2" max="2" width="13" style="1" customWidth="1"/>
    <col min="3" max="3" width="6" style="1" customWidth="1"/>
    <col min="4" max="4" width="14" style="1" customWidth="1"/>
    <col min="5" max="5" width="50" style="1" customWidth="1"/>
    <col min="6" max="6" width="46" style="1" customWidth="1"/>
    <col min="7" max="7" width="11" style="1" customWidth="1"/>
    <col min="8" max="8" width="24" style="1" customWidth="1"/>
    <col min="9" max="9" width="30" style="1" customWidth="1"/>
  </cols>
  <sheetData>
    <row r="2" spans="2:9" ht="39.75" customHeight="1">
      <c r="B2" s="35" t="s">
        <v>0</v>
      </c>
      <c r="C2" s="36"/>
      <c r="D2" s="36"/>
      <c r="E2" s="36"/>
      <c r="F2" s="36"/>
      <c r="G2" s="36"/>
      <c r="H2" s="36"/>
      <c r="I2" s="37"/>
    </row>
    <row r="3" spans="2:9" ht="24" customHeight="1">
      <c r="B3" s="2" t="s">
        <v>1</v>
      </c>
      <c r="C3" s="41" t="s">
        <v>2</v>
      </c>
      <c r="D3" s="20"/>
      <c r="E3" s="21"/>
      <c r="F3" s="27" t="s">
        <v>3</v>
      </c>
      <c r="G3" s="28"/>
      <c r="H3" s="28"/>
      <c r="I3" s="29"/>
    </row>
    <row r="4" spans="2:9" ht="24" customHeight="1">
      <c r="B4" s="2" t="s">
        <v>4</v>
      </c>
      <c r="C4" s="41" t="s">
        <v>5</v>
      </c>
      <c r="D4" s="20"/>
      <c r="E4" s="21"/>
      <c r="F4" s="30"/>
      <c r="G4" s="23"/>
      <c r="H4" s="23"/>
      <c r="I4" s="31"/>
    </row>
    <row r="5" spans="2:9" ht="24" customHeight="1">
      <c r="B5" s="2" t="s">
        <v>6</v>
      </c>
      <c r="C5" s="41"/>
      <c r="D5" s="20"/>
      <c r="E5" s="21"/>
      <c r="F5" s="30"/>
      <c r="G5" s="23"/>
      <c r="H5" s="23"/>
      <c r="I5" s="31"/>
    </row>
    <row r="6" spans="2:9" ht="24" customHeight="1">
      <c r="B6" s="2" t="s">
        <v>7</v>
      </c>
      <c r="C6" s="41" t="s">
        <v>8</v>
      </c>
      <c r="D6" s="20"/>
      <c r="E6" s="21"/>
      <c r="F6" s="32"/>
      <c r="G6" s="33"/>
      <c r="H6" s="33"/>
      <c r="I6" s="34"/>
    </row>
    <row r="7" spans="2:9" ht="18" customHeight="1">
      <c r="B7" s="22" t="s">
        <v>9</v>
      </c>
      <c r="C7" s="23"/>
      <c r="D7" s="23"/>
      <c r="E7" s="23"/>
      <c r="F7" s="23"/>
      <c r="G7" s="23"/>
      <c r="H7" s="23"/>
      <c r="I7" s="23"/>
    </row>
    <row r="8" spans="2:9" ht="24" customHeight="1">
      <c r="B8" s="2" t="s">
        <v>10</v>
      </c>
      <c r="C8" s="2" t="s">
        <v>11</v>
      </c>
      <c r="D8" s="2" t="s">
        <v>12</v>
      </c>
      <c r="E8" s="2" t="s">
        <v>13</v>
      </c>
      <c r="F8" s="2" t="s">
        <v>14</v>
      </c>
      <c r="G8" s="2" t="s">
        <v>15</v>
      </c>
      <c r="H8" s="2" t="s">
        <v>16</v>
      </c>
      <c r="I8" s="2" t="s">
        <v>17</v>
      </c>
    </row>
    <row r="9" spans="2:9" ht="34.5" customHeight="1">
      <c r="B9" s="24" t="s">
        <v>18</v>
      </c>
      <c r="C9" s="4">
        <v>1</v>
      </c>
      <c r="D9" s="4" t="s">
        <v>19</v>
      </c>
      <c r="E9" s="3" t="s">
        <v>20</v>
      </c>
      <c r="F9" s="3" t="s">
        <v>21</v>
      </c>
      <c r="G9" s="5" t="s">
        <v>22</v>
      </c>
      <c r="H9" s="6" t="s">
        <v>23</v>
      </c>
      <c r="I9" s="6" t="s">
        <v>24</v>
      </c>
    </row>
    <row r="10" spans="2:9" ht="24" customHeight="1">
      <c r="B10" s="26"/>
      <c r="C10" s="4">
        <v>2</v>
      </c>
      <c r="D10" s="4" t="s">
        <v>25</v>
      </c>
      <c r="E10" s="3" t="s">
        <v>26</v>
      </c>
      <c r="F10" s="3" t="s">
        <v>27</v>
      </c>
      <c r="G10" s="5" t="s">
        <v>22</v>
      </c>
      <c r="H10" s="6" t="s">
        <v>28</v>
      </c>
      <c r="I10" s="6" t="s">
        <v>29</v>
      </c>
    </row>
    <row r="11" spans="2:9" ht="48" customHeight="1">
      <c r="B11" s="24" t="s">
        <v>30</v>
      </c>
      <c r="C11" s="4">
        <v>3</v>
      </c>
      <c r="D11" s="4" t="s">
        <v>31</v>
      </c>
      <c r="E11" s="3" t="s">
        <v>32</v>
      </c>
      <c r="F11" s="3" t="s">
        <v>33</v>
      </c>
      <c r="G11" s="5" t="s">
        <v>22</v>
      </c>
      <c r="H11" s="6" t="s">
        <v>34</v>
      </c>
      <c r="I11" s="6" t="s">
        <v>35</v>
      </c>
    </row>
    <row r="12" spans="2:9" ht="34.5" customHeight="1">
      <c r="B12" s="25"/>
      <c r="C12" s="4">
        <v>4</v>
      </c>
      <c r="D12" s="4" t="s">
        <v>36</v>
      </c>
      <c r="E12" s="3" t="s">
        <v>37</v>
      </c>
      <c r="F12" s="3" t="s">
        <v>38</v>
      </c>
      <c r="G12" s="5" t="s">
        <v>22</v>
      </c>
      <c r="H12" s="6" t="s">
        <v>39</v>
      </c>
      <c r="I12" s="6" t="s">
        <v>40</v>
      </c>
    </row>
    <row r="13" spans="2:9" ht="34.5" customHeight="1">
      <c r="B13" s="26"/>
      <c r="C13" s="4">
        <v>5</v>
      </c>
      <c r="D13" s="4" t="s">
        <v>41</v>
      </c>
      <c r="E13" s="3" t="s">
        <v>42</v>
      </c>
      <c r="F13" s="3" t="s">
        <v>43</v>
      </c>
      <c r="G13" s="5" t="s">
        <v>22</v>
      </c>
      <c r="H13" s="6" t="s">
        <v>44</v>
      </c>
      <c r="I13" s="6" t="s">
        <v>45</v>
      </c>
    </row>
    <row r="14" spans="2:9" ht="34.5" customHeight="1">
      <c r="B14" s="24" t="s">
        <v>46</v>
      </c>
      <c r="C14" s="4">
        <v>6</v>
      </c>
      <c r="D14" s="4" t="s">
        <v>47</v>
      </c>
      <c r="E14" s="3" t="s">
        <v>48</v>
      </c>
      <c r="F14" s="7" t="s">
        <v>49</v>
      </c>
      <c r="G14" s="5" t="s">
        <v>22</v>
      </c>
      <c r="H14" s="6" t="s">
        <v>50</v>
      </c>
      <c r="I14" s="6" t="s">
        <v>51</v>
      </c>
    </row>
    <row r="15" spans="2:9" ht="34.5" customHeight="1">
      <c r="B15" s="25"/>
      <c r="C15" s="4">
        <v>7</v>
      </c>
      <c r="D15" s="4" t="s">
        <v>52</v>
      </c>
      <c r="E15" s="7" t="s">
        <v>53</v>
      </c>
      <c r="F15" s="3" t="s">
        <v>54</v>
      </c>
      <c r="G15" s="5" t="s">
        <v>22</v>
      </c>
      <c r="H15" s="6" t="s">
        <v>55</v>
      </c>
      <c r="I15" s="6" t="s">
        <v>56</v>
      </c>
    </row>
    <row r="16" spans="2:9" ht="34.5" customHeight="1">
      <c r="B16" s="25"/>
      <c r="C16" s="4">
        <v>8</v>
      </c>
      <c r="D16" s="4" t="s">
        <v>57</v>
      </c>
      <c r="E16" s="3" t="s">
        <v>58</v>
      </c>
      <c r="F16" s="3" t="s">
        <v>59</v>
      </c>
      <c r="G16" s="5" t="s">
        <v>22</v>
      </c>
      <c r="H16" s="6" t="s">
        <v>60</v>
      </c>
      <c r="I16" s="6" t="s">
        <v>61</v>
      </c>
    </row>
    <row r="17" spans="2:9" ht="48" customHeight="1">
      <c r="B17" s="26"/>
      <c r="C17" s="4">
        <v>9</v>
      </c>
      <c r="D17" s="4" t="s">
        <v>62</v>
      </c>
      <c r="E17" s="3" t="s">
        <v>63</v>
      </c>
      <c r="F17" s="3" t="s">
        <v>64</v>
      </c>
      <c r="G17" s="5" t="s">
        <v>22</v>
      </c>
      <c r="H17" s="6" t="s">
        <v>65</v>
      </c>
      <c r="I17" s="6" t="s">
        <v>66</v>
      </c>
    </row>
    <row r="18" spans="2:9" ht="24" customHeight="1">
      <c r="B18" s="24" t="s">
        <v>67</v>
      </c>
      <c r="C18" s="4">
        <v>10</v>
      </c>
      <c r="D18" s="4" t="s">
        <v>68</v>
      </c>
      <c r="E18" s="3" t="s">
        <v>69</v>
      </c>
      <c r="F18" s="3" t="s">
        <v>70</v>
      </c>
      <c r="G18" s="5" t="s">
        <v>22</v>
      </c>
      <c r="H18" s="6" t="s">
        <v>71</v>
      </c>
      <c r="I18" s="6" t="s">
        <v>72</v>
      </c>
    </row>
    <row r="19" spans="2:9" ht="34.5" customHeight="1">
      <c r="B19" s="25"/>
      <c r="C19" s="4">
        <v>11</v>
      </c>
      <c r="D19" s="4" t="s">
        <v>73</v>
      </c>
      <c r="E19" s="3" t="s">
        <v>74</v>
      </c>
      <c r="F19" s="3" t="s">
        <v>75</v>
      </c>
      <c r="G19" s="5" t="s">
        <v>22</v>
      </c>
      <c r="H19" s="6" t="s">
        <v>76</v>
      </c>
      <c r="I19" s="6" t="s">
        <v>77</v>
      </c>
    </row>
    <row r="20" spans="2:9" ht="24" customHeight="1">
      <c r="B20" s="25"/>
      <c r="C20" s="4">
        <v>12</v>
      </c>
      <c r="D20" s="4" t="s">
        <v>78</v>
      </c>
      <c r="E20" s="3" t="s">
        <v>79</v>
      </c>
      <c r="F20" s="3" t="s">
        <v>80</v>
      </c>
      <c r="G20" s="5" t="s">
        <v>22</v>
      </c>
      <c r="H20" s="6" t="s">
        <v>81</v>
      </c>
      <c r="I20" s="6" t="s">
        <v>82</v>
      </c>
    </row>
    <row r="21" spans="2:9" ht="34.5" customHeight="1">
      <c r="B21" s="25"/>
      <c r="C21" s="4">
        <v>13</v>
      </c>
      <c r="D21" s="4" t="s">
        <v>83</v>
      </c>
      <c r="E21" s="3" t="s">
        <v>84</v>
      </c>
      <c r="F21" s="3" t="s">
        <v>85</v>
      </c>
      <c r="G21" s="5" t="s">
        <v>22</v>
      </c>
      <c r="H21" s="6" t="s">
        <v>86</v>
      </c>
      <c r="I21" s="6" t="s">
        <v>87</v>
      </c>
    </row>
    <row r="22" spans="2:9" ht="48" customHeight="1">
      <c r="B22" s="26"/>
      <c r="C22" s="4">
        <v>14</v>
      </c>
      <c r="D22" s="4" t="s">
        <v>83</v>
      </c>
      <c r="E22" s="7" t="s">
        <v>88</v>
      </c>
      <c r="F22" s="3" t="s">
        <v>89</v>
      </c>
      <c r="G22" s="5" t="s">
        <v>22</v>
      </c>
      <c r="H22" s="6" t="s">
        <v>90</v>
      </c>
      <c r="I22" s="6" t="s">
        <v>91</v>
      </c>
    </row>
    <row r="23" spans="2:9" ht="34.5" customHeight="1">
      <c r="B23" s="24" t="s">
        <v>92</v>
      </c>
      <c r="C23" s="4">
        <v>15</v>
      </c>
      <c r="D23" s="4" t="s">
        <v>93</v>
      </c>
      <c r="E23" s="3" t="s">
        <v>94</v>
      </c>
      <c r="F23" s="3" t="s">
        <v>95</v>
      </c>
      <c r="G23" s="5" t="s">
        <v>96</v>
      </c>
      <c r="H23" s="6"/>
      <c r="I23" s="6" t="s">
        <v>97</v>
      </c>
    </row>
    <row r="24" spans="2:9" ht="34.5" customHeight="1">
      <c r="B24" s="25"/>
      <c r="C24" s="4">
        <v>16</v>
      </c>
      <c r="D24" s="4" t="s">
        <v>98</v>
      </c>
      <c r="E24" s="3" t="s">
        <v>99</v>
      </c>
      <c r="F24" s="3" t="s">
        <v>100</v>
      </c>
      <c r="G24" s="5" t="s">
        <v>22</v>
      </c>
      <c r="H24" s="6" t="s">
        <v>101</v>
      </c>
      <c r="I24" s="6" t="s">
        <v>102</v>
      </c>
    </row>
    <row r="25" spans="2:9" ht="61.5" customHeight="1">
      <c r="B25" s="25"/>
      <c r="C25" s="4">
        <v>17</v>
      </c>
      <c r="D25" s="4" t="s">
        <v>103</v>
      </c>
      <c r="E25" s="3" t="s">
        <v>104</v>
      </c>
      <c r="F25" s="3" t="s">
        <v>105</v>
      </c>
      <c r="G25" s="5" t="s">
        <v>22</v>
      </c>
      <c r="H25" s="6" t="s">
        <v>106</v>
      </c>
      <c r="I25" s="6" t="s">
        <v>107</v>
      </c>
    </row>
    <row r="26" spans="2:9" ht="24" customHeight="1">
      <c r="B26" s="25"/>
      <c r="C26" s="4">
        <v>18</v>
      </c>
      <c r="D26" s="4" t="s">
        <v>103</v>
      </c>
      <c r="E26" s="3" t="s">
        <v>108</v>
      </c>
      <c r="F26" s="3" t="s">
        <v>109</v>
      </c>
      <c r="G26" s="5" t="s">
        <v>22</v>
      </c>
      <c r="H26" s="6" t="s">
        <v>110</v>
      </c>
      <c r="I26" s="6" t="s">
        <v>111</v>
      </c>
    </row>
    <row r="27" spans="2:9" ht="24" customHeight="1">
      <c r="B27" s="26"/>
      <c r="C27" s="4">
        <v>19</v>
      </c>
      <c r="D27" s="4" t="s">
        <v>112</v>
      </c>
      <c r="E27" s="3" t="s">
        <v>113</v>
      </c>
      <c r="F27" s="3" t="s">
        <v>114</v>
      </c>
      <c r="G27" s="5" t="s">
        <v>22</v>
      </c>
      <c r="H27" s="6" t="s">
        <v>115</v>
      </c>
      <c r="I27" s="6" t="s">
        <v>116</v>
      </c>
    </row>
    <row r="28" spans="2:9" ht="24" customHeight="1">
      <c r="B28" s="24" t="s">
        <v>117</v>
      </c>
      <c r="C28" s="4">
        <v>20</v>
      </c>
      <c r="D28" s="4" t="s">
        <v>118</v>
      </c>
      <c r="E28" s="3" t="s">
        <v>119</v>
      </c>
      <c r="F28" s="3" t="s">
        <v>120</v>
      </c>
      <c r="G28" s="5" t="s">
        <v>22</v>
      </c>
      <c r="H28" s="6" t="s">
        <v>121</v>
      </c>
      <c r="I28" s="6" t="s">
        <v>122</v>
      </c>
    </row>
    <row r="29" spans="2:9" ht="48" customHeight="1">
      <c r="B29" s="25"/>
      <c r="C29" s="4">
        <v>21</v>
      </c>
      <c r="D29" s="4" t="s">
        <v>123</v>
      </c>
      <c r="E29" s="3" t="s">
        <v>124</v>
      </c>
      <c r="F29" s="3" t="s">
        <v>125</v>
      </c>
      <c r="G29" s="5" t="s">
        <v>22</v>
      </c>
      <c r="H29" s="6" t="s">
        <v>126</v>
      </c>
      <c r="I29" s="6" t="s">
        <v>127</v>
      </c>
    </row>
    <row r="30" spans="2:9" ht="34.5" customHeight="1">
      <c r="B30" s="25"/>
      <c r="C30" s="4">
        <v>22</v>
      </c>
      <c r="D30" s="4" t="s">
        <v>128</v>
      </c>
      <c r="E30" s="3" t="s">
        <v>129</v>
      </c>
      <c r="F30" s="3" t="s">
        <v>130</v>
      </c>
      <c r="G30" s="5" t="s">
        <v>22</v>
      </c>
      <c r="H30" s="6" t="s">
        <v>131</v>
      </c>
      <c r="I30" s="6" t="s">
        <v>132</v>
      </c>
    </row>
    <row r="31" spans="2:9" ht="34.5" customHeight="1">
      <c r="B31" s="25"/>
      <c r="C31" s="4">
        <v>23</v>
      </c>
      <c r="D31" s="4" t="s">
        <v>133</v>
      </c>
      <c r="E31" s="3" t="s">
        <v>134</v>
      </c>
      <c r="F31" s="3" t="s">
        <v>135</v>
      </c>
      <c r="G31" s="5" t="s">
        <v>22</v>
      </c>
      <c r="H31" s="6" t="s">
        <v>136</v>
      </c>
      <c r="I31" s="6" t="s">
        <v>137</v>
      </c>
    </row>
    <row r="32" spans="2:9" ht="24" customHeight="1">
      <c r="B32" s="26"/>
      <c r="C32" s="4">
        <v>24</v>
      </c>
      <c r="D32" s="4" t="s">
        <v>138</v>
      </c>
      <c r="E32" s="3" t="s">
        <v>139</v>
      </c>
      <c r="F32" s="7" t="s">
        <v>140</v>
      </c>
      <c r="G32" s="5" t="s">
        <v>22</v>
      </c>
      <c r="H32" s="6" t="s">
        <v>141</v>
      </c>
      <c r="I32" s="6" t="s">
        <v>142</v>
      </c>
    </row>
    <row r="33" spans="2:9" ht="34.5" customHeight="1">
      <c r="B33" s="24" t="s">
        <v>143</v>
      </c>
      <c r="C33" s="4">
        <v>25</v>
      </c>
      <c r="D33" s="8" t="s">
        <v>144</v>
      </c>
      <c r="E33" s="3" t="s">
        <v>145</v>
      </c>
      <c r="F33" s="3" t="s">
        <v>146</v>
      </c>
      <c r="G33" s="5" t="s">
        <v>22</v>
      </c>
      <c r="H33" s="6" t="s">
        <v>147</v>
      </c>
      <c r="I33" s="6" t="s">
        <v>148</v>
      </c>
    </row>
    <row r="34" spans="2:9" ht="24" customHeight="1">
      <c r="B34" s="25"/>
      <c r="C34" s="4">
        <v>26</v>
      </c>
      <c r="D34" s="8" t="s">
        <v>144</v>
      </c>
      <c r="E34" s="3" t="s">
        <v>149</v>
      </c>
      <c r="F34" s="3" t="s">
        <v>150</v>
      </c>
      <c r="G34" s="5" t="s">
        <v>22</v>
      </c>
      <c r="H34" s="6" t="s">
        <v>151</v>
      </c>
      <c r="I34" s="6" t="s">
        <v>152</v>
      </c>
    </row>
    <row r="35" spans="2:9" ht="48" customHeight="1">
      <c r="B35" s="26"/>
      <c r="C35" s="4">
        <v>27</v>
      </c>
      <c r="D35" s="8" t="s">
        <v>144</v>
      </c>
      <c r="E35" s="3" t="s">
        <v>153</v>
      </c>
      <c r="F35" s="3" t="s">
        <v>109</v>
      </c>
      <c r="G35" s="5" t="s">
        <v>154</v>
      </c>
      <c r="H35" s="6" t="s">
        <v>155</v>
      </c>
      <c r="I35" s="6" t="s">
        <v>156</v>
      </c>
    </row>
    <row r="37" spans="2:9" ht="19.5" customHeight="1">
      <c r="B37" s="38" t="s">
        <v>157</v>
      </c>
      <c r="C37" s="19" t="s">
        <v>22</v>
      </c>
      <c r="D37" s="20"/>
      <c r="E37" s="21"/>
      <c r="F37" s="10">
        <f>COUNTIF($G$9:$G$35,"통과")</f>
        <v>25</v>
      </c>
      <c r="G37" s="27" t="s">
        <v>158</v>
      </c>
      <c r="H37" s="28"/>
      <c r="I37" s="29"/>
    </row>
    <row r="38" spans="2:9" ht="19.5" customHeight="1">
      <c r="B38" s="25"/>
      <c r="C38" s="19" t="s">
        <v>159</v>
      </c>
      <c r="D38" s="20"/>
      <c r="E38" s="21"/>
      <c r="F38" s="10">
        <f>COUNTIF($G$9:$G$35,"실패")</f>
        <v>0</v>
      </c>
      <c r="G38" s="30"/>
      <c r="H38" s="23"/>
      <c r="I38" s="31"/>
    </row>
    <row r="39" spans="2:9" ht="19.5" customHeight="1">
      <c r="B39" s="25"/>
      <c r="C39" s="19" t="s">
        <v>154</v>
      </c>
      <c r="D39" s="20"/>
      <c r="E39" s="21"/>
      <c r="F39" s="10">
        <f>COUNTIF($G$9:$G$35,"미확인")</f>
        <v>1</v>
      </c>
      <c r="G39" s="30"/>
      <c r="H39" s="23"/>
      <c r="I39" s="31"/>
    </row>
    <row r="40" spans="2:9" ht="19.5" customHeight="1">
      <c r="B40" s="25"/>
      <c r="C40" s="19" t="s">
        <v>96</v>
      </c>
      <c r="D40" s="20"/>
      <c r="E40" s="21"/>
      <c r="F40" s="10">
        <f>COUNTIF($G$9:$G$35,"해당없음")</f>
        <v>1</v>
      </c>
      <c r="G40" s="30"/>
      <c r="H40" s="23"/>
      <c r="I40" s="31"/>
    </row>
    <row r="41" spans="2:9" ht="19.5" customHeight="1">
      <c r="B41" s="25"/>
      <c r="C41" s="19" t="s">
        <v>160</v>
      </c>
      <c r="D41" s="20"/>
      <c r="E41" s="21"/>
      <c r="F41" s="10">
        <f>COUNTA($E$9:$E$35)-COUNTA($G$9:$G$35)</f>
        <v>0</v>
      </c>
      <c r="G41" s="30"/>
      <c r="H41" s="23"/>
      <c r="I41" s="31"/>
    </row>
    <row r="42" spans="2:9" ht="19.5" customHeight="1">
      <c r="B42" s="26"/>
      <c r="C42" s="19" t="s">
        <v>161</v>
      </c>
      <c r="D42" s="20"/>
      <c r="E42" s="21"/>
      <c r="F42" s="10">
        <f>COUNTA($E$9:$E$35)</f>
        <v>27</v>
      </c>
      <c r="G42" s="32"/>
      <c r="H42" s="33"/>
      <c r="I42" s="34"/>
    </row>
    <row r="43" spans="2:9" ht="7.5" customHeight="1"/>
    <row r="44" spans="2:9" ht="21.75" customHeight="1">
      <c r="B44" s="40" t="s">
        <v>162</v>
      </c>
      <c r="C44" s="20"/>
      <c r="D44" s="20"/>
      <c r="E44" s="20"/>
      <c r="F44" s="20"/>
      <c r="G44" s="20"/>
      <c r="H44" s="20"/>
      <c r="I44" s="21"/>
    </row>
    <row r="45" spans="2:9" ht="42" customHeight="1">
      <c r="B45" s="9" t="s">
        <v>163</v>
      </c>
      <c r="C45" s="39"/>
      <c r="D45" s="20"/>
      <c r="E45" s="20"/>
      <c r="F45" s="20"/>
      <c r="G45" s="20"/>
      <c r="H45" s="20"/>
      <c r="I45" s="21"/>
    </row>
    <row r="46" spans="2:9" ht="42" customHeight="1">
      <c r="B46" s="9" t="s">
        <v>164</v>
      </c>
      <c r="C46" s="39"/>
      <c r="D46" s="20"/>
      <c r="E46" s="20"/>
      <c r="F46" s="20"/>
      <c r="G46" s="20"/>
      <c r="H46" s="20"/>
      <c r="I46" s="21"/>
    </row>
  </sheetData>
  <mergeCells count="25">
    <mergeCell ref="C46:I46"/>
    <mergeCell ref="B23:B27"/>
    <mergeCell ref="C45:I45"/>
    <mergeCell ref="B9:B10"/>
    <mergeCell ref="B44:I44"/>
    <mergeCell ref="C37:E37"/>
    <mergeCell ref="C3:E3"/>
    <mergeCell ref="B11:B13"/>
    <mergeCell ref="C6:E6"/>
    <mergeCell ref="C42:E42"/>
    <mergeCell ref="B18:B22"/>
    <mergeCell ref="C5:E5"/>
    <mergeCell ref="G37:I42"/>
    <mergeCell ref="C4:E4"/>
    <mergeCell ref="F3:I6"/>
    <mergeCell ref="B2:I2"/>
    <mergeCell ref="C39:E39"/>
    <mergeCell ref="C38:E38"/>
    <mergeCell ref="B37:B42"/>
    <mergeCell ref="C41:E41"/>
    <mergeCell ref="B7:I7"/>
    <mergeCell ref="C40:E40"/>
    <mergeCell ref="B28:B32"/>
    <mergeCell ref="B33:B35"/>
    <mergeCell ref="B14:B17"/>
  </mergeCells>
  <phoneticPr fontId="13" type="noConversion"/>
  <conditionalFormatting sqref="G9:G35">
    <cfRule type="cellIs" dxfId="3" priority="2" operator="equal">
      <formula>"통과"</formula>
    </cfRule>
    <cfRule type="cellIs" dxfId="2" priority="3" operator="equal">
      <formula>"실패"</formula>
    </cfRule>
    <cfRule type="cellIs" dxfId="1" priority="4" operator="equal">
      <formula>"미확인"</formula>
    </cfRule>
    <cfRule type="cellIs" dxfId="0" priority="5" operator="equal">
      <formula>"해당없음"</formula>
    </cfRule>
  </conditionalFormatting>
  <dataValidations count="2">
    <dataValidation type="list" allowBlank="1" sqref="C3" xr:uid="{00000000-0002-0000-0000-000000000000}">
      <formula1>"셀프,상호"</formula1>
      <formula2>0</formula2>
    </dataValidation>
    <dataValidation type="list" allowBlank="1" showErrorMessage="1" errorTitle="결과 선택" error="통과 / 실패 / 미확인 / 해당없음 중에서 선택하세요." sqref="G9:G35" xr:uid="{00000000-0002-0000-0000-000001000000}">
      <formula1>"통과,실패,미확인,해당없음"</formula1>
      <formula2>0</formula2>
    </dataValidation>
  </dataValidations>
  <pageMargins left="0.4" right="0.4" top="0.5" bottom="0.5" header="0.511811023622047" footer="0.5"/>
  <pageSetup paperSize="9" fitToHeight="0" orientation="landscape" horizontalDpi="300" verticalDpi="300"/>
  <headerFooter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H17"/>
  <sheetViews>
    <sheetView showGridLines="0" zoomScaleNormal="100" workbookViewId="0"/>
  </sheetViews>
  <sheetFormatPr defaultColWidth="8.5" defaultRowHeight="16.5"/>
  <cols>
    <col min="1" max="1" width="3" style="1" customWidth="1"/>
    <col min="2" max="2" width="16" style="1" customWidth="1"/>
    <col min="3" max="3" width="6" style="1" customWidth="1"/>
    <col min="4" max="4" width="14" style="1" customWidth="1"/>
    <col min="5" max="5" width="46" style="1" customWidth="1"/>
    <col min="6" max="6" width="12" style="1" customWidth="1"/>
    <col min="7" max="7" width="26" style="1" customWidth="1"/>
    <col min="8" max="8" width="40" style="1" customWidth="1"/>
  </cols>
  <sheetData>
    <row r="2" spans="2:8" ht="30" customHeight="1">
      <c r="B2" s="45" t="s">
        <v>165</v>
      </c>
      <c r="C2" s="23"/>
      <c r="D2" s="23"/>
      <c r="E2" s="23"/>
      <c r="F2" s="23"/>
      <c r="G2" s="23"/>
      <c r="H2" s="23"/>
    </row>
    <row r="4" spans="2:8" ht="45.75" customHeight="1">
      <c r="B4" s="11" t="s">
        <v>166</v>
      </c>
      <c r="C4" s="42" t="s">
        <v>167</v>
      </c>
      <c r="D4" s="20"/>
      <c r="E4" s="20"/>
      <c r="F4" s="20"/>
      <c r="G4" s="20"/>
      <c r="H4" s="21"/>
    </row>
    <row r="5" spans="2:8" ht="45.75" customHeight="1">
      <c r="B5" s="11" t="s">
        <v>168</v>
      </c>
      <c r="C5" s="42" t="s">
        <v>169</v>
      </c>
      <c r="D5" s="20"/>
      <c r="E5" s="20"/>
      <c r="F5" s="20"/>
      <c r="G5" s="20"/>
      <c r="H5" s="21"/>
    </row>
    <row r="6" spans="2:8" ht="81.75" customHeight="1">
      <c r="B6" s="11" t="s">
        <v>15</v>
      </c>
      <c r="C6" s="42" t="s">
        <v>170</v>
      </c>
      <c r="D6" s="20"/>
      <c r="E6" s="20"/>
      <c r="F6" s="20"/>
      <c r="G6" s="20"/>
      <c r="H6" s="21"/>
    </row>
    <row r="7" spans="2:8" ht="45.75" customHeight="1">
      <c r="B7" s="11" t="s">
        <v>171</v>
      </c>
      <c r="C7" s="42" t="s">
        <v>172</v>
      </c>
      <c r="D7" s="20"/>
      <c r="E7" s="20"/>
      <c r="F7" s="20"/>
      <c r="G7" s="20"/>
      <c r="H7" s="21"/>
    </row>
    <row r="8" spans="2:8" ht="27.75" customHeight="1">
      <c r="B8" s="11" t="s">
        <v>157</v>
      </c>
      <c r="C8" s="42" t="s">
        <v>173</v>
      </c>
      <c r="D8" s="20"/>
      <c r="E8" s="20"/>
      <c r="F8" s="20"/>
      <c r="G8" s="20"/>
      <c r="H8" s="21"/>
    </row>
    <row r="9" spans="2:8" ht="45.75" customHeight="1">
      <c r="B9" s="11" t="s">
        <v>174</v>
      </c>
      <c r="C9" s="42" t="s">
        <v>175</v>
      </c>
      <c r="D9" s="20"/>
      <c r="E9" s="20"/>
      <c r="F9" s="20"/>
      <c r="G9" s="20"/>
      <c r="H9" s="21"/>
    </row>
    <row r="10" spans="2:8" ht="27.75" customHeight="1">
      <c r="B10" s="11" t="s">
        <v>176</v>
      </c>
      <c r="C10" s="43" t="s">
        <v>177</v>
      </c>
      <c r="D10" s="20"/>
      <c r="E10" s="20"/>
      <c r="F10" s="20"/>
      <c r="G10" s="20"/>
      <c r="H10" s="21"/>
    </row>
    <row r="12" spans="2:8" ht="15" customHeight="1">
      <c r="B12" s="44" t="s">
        <v>178</v>
      </c>
      <c r="C12" s="23"/>
      <c r="D12" s="23"/>
      <c r="E12" s="23"/>
      <c r="F12" s="23"/>
      <c r="G12" s="23"/>
      <c r="H12" s="23"/>
    </row>
    <row r="13" spans="2:8" ht="15" customHeight="1">
      <c r="B13" s="12" t="s">
        <v>10</v>
      </c>
      <c r="C13" s="12" t="s">
        <v>11</v>
      </c>
      <c r="D13" s="12" t="s">
        <v>12</v>
      </c>
      <c r="E13" s="12" t="s">
        <v>13</v>
      </c>
      <c r="F13" s="12" t="s">
        <v>15</v>
      </c>
      <c r="G13" s="12" t="s">
        <v>16</v>
      </c>
      <c r="H13" s="12" t="s">
        <v>17</v>
      </c>
    </row>
    <row r="14" spans="2:8" ht="45.75" customHeight="1">
      <c r="B14" s="3" t="s">
        <v>30</v>
      </c>
      <c r="C14" s="13">
        <v>4</v>
      </c>
      <c r="D14" s="14" t="s">
        <v>36</v>
      </c>
      <c r="E14" s="3" t="s">
        <v>37</v>
      </c>
      <c r="F14" s="15" t="s">
        <v>22</v>
      </c>
      <c r="G14" s="14" t="s">
        <v>179</v>
      </c>
      <c r="H14" s="3"/>
    </row>
    <row r="15" spans="2:8" ht="45.75" customHeight="1">
      <c r="B15" s="3" t="s">
        <v>46</v>
      </c>
      <c r="C15" s="13">
        <v>9</v>
      </c>
      <c r="D15" s="14" t="s">
        <v>62</v>
      </c>
      <c r="E15" s="3" t="s">
        <v>63</v>
      </c>
      <c r="F15" s="16" t="s">
        <v>159</v>
      </c>
      <c r="G15" s="14" t="s">
        <v>180</v>
      </c>
      <c r="H15" s="3" t="s">
        <v>181</v>
      </c>
    </row>
    <row r="16" spans="2:8" ht="45.75" customHeight="1">
      <c r="B16" s="3" t="s">
        <v>92</v>
      </c>
      <c r="C16" s="13">
        <v>16</v>
      </c>
      <c r="D16" s="14" t="s">
        <v>98</v>
      </c>
      <c r="E16" s="3" t="s">
        <v>99</v>
      </c>
      <c r="F16" s="17" t="s">
        <v>96</v>
      </c>
      <c r="G16" s="3"/>
      <c r="H16" s="14" t="s">
        <v>182</v>
      </c>
    </row>
    <row r="17" spans="2:8" ht="45.75" customHeight="1">
      <c r="B17" s="3" t="s">
        <v>117</v>
      </c>
      <c r="C17" s="13">
        <v>20</v>
      </c>
      <c r="D17" s="14" t="s">
        <v>118</v>
      </c>
      <c r="E17" s="3" t="s">
        <v>119</v>
      </c>
      <c r="F17" s="18" t="s">
        <v>154</v>
      </c>
      <c r="G17" s="3"/>
      <c r="H17" s="14" t="s">
        <v>183</v>
      </c>
    </row>
  </sheetData>
  <mergeCells count="9">
    <mergeCell ref="B2:H2"/>
    <mergeCell ref="C8:H8"/>
    <mergeCell ref="C4:H4"/>
    <mergeCell ref="C7:H7"/>
    <mergeCell ref="C6:H6"/>
    <mergeCell ref="C10:H10"/>
    <mergeCell ref="C5:H5"/>
    <mergeCell ref="C9:H9"/>
    <mergeCell ref="B12:H12"/>
  </mergeCells>
  <phoneticPr fontId="13" type="noConversion"/>
  <pageMargins left="0.75" right="0.75" top="1" bottom="1" header="0.511811023622047" footer="0.511811023622047"/>
  <pageSetup paperSize="9" fitToHeight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체크리스트</vt:lpstr>
      <vt:lpstr>작성 안내</vt:lpstr>
      <vt:lpstr>체크리스트!Print_Area</vt:lpstr>
      <vt:lpstr>체크리스트!Print_Titles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SSAFY</cp:lastModifiedBy>
  <cp:revision>0</cp:revision>
  <dcterms:created xsi:type="dcterms:W3CDTF">2026-08-25T11:58:43Z</dcterms:created>
  <dcterms:modified xsi:type="dcterms:W3CDTF">2026-10-23T02:07:20Z</dcterms:modified>
  <dc:language>en-US</dc:language>
</cp:coreProperties>
</file>